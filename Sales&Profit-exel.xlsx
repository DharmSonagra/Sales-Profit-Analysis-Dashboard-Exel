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HARM\Documents\"/>
    </mc:Choice>
  </mc:AlternateContent>
  <xr:revisionPtr revIDLastSave="0" documentId="8_{2E5B31B5-7751-49B4-8B2E-A5DBDD4261C0}" xr6:coauthVersionLast="47" xr6:coauthVersionMax="47" xr10:uidLastSave="{00000000-0000-0000-0000-000000000000}"/>
  <bookViews>
    <workbookView xWindow="-108" yWindow="-108" windowWidth="23256" windowHeight="12456" activeTab="2" xr2:uid="{31CD7C39-B6FF-40C8-86D2-A37451F62842}"/>
  </bookViews>
  <sheets>
    <sheet name="PivotTable" sheetId="5" r:id="rId1"/>
    <sheet name="DashBoard" sheetId="6" r:id="rId2"/>
    <sheet name="Sales_data" sheetId="1" r:id="rId3"/>
  </sheets>
  <definedNames>
    <definedName name="_xlnm._FilterDatabase" localSheetId="2" hidden="1">Sales_data!$H$4:$Q$43</definedName>
    <definedName name="Slicer_Category">#N/A</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 l="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 i="1"/>
  <c r="S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alcChain>
</file>

<file path=xl/sharedStrings.xml><?xml version="1.0" encoding="utf-8"?>
<sst xmlns="http://schemas.openxmlformats.org/spreadsheetml/2006/main" count="203" uniqueCount="55">
  <si>
    <t>Sales And profit Analysis</t>
  </si>
  <si>
    <t>Order_id</t>
  </si>
  <si>
    <t xml:space="preserve">Date </t>
  </si>
  <si>
    <t>Category</t>
  </si>
  <si>
    <t>Product</t>
  </si>
  <si>
    <t>Region</t>
  </si>
  <si>
    <t>Salesperson</t>
  </si>
  <si>
    <t>Quantity</t>
  </si>
  <si>
    <t>Unitprice</t>
  </si>
  <si>
    <t>Month</t>
  </si>
  <si>
    <t>Year</t>
  </si>
  <si>
    <t>electronic</t>
  </si>
  <si>
    <t>furniture</t>
  </si>
  <si>
    <t>Tv</t>
  </si>
  <si>
    <t>Chair</t>
  </si>
  <si>
    <t>mobile</t>
  </si>
  <si>
    <t>sofa</t>
  </si>
  <si>
    <t>chair</t>
  </si>
  <si>
    <t>tv</t>
  </si>
  <si>
    <t>table</t>
  </si>
  <si>
    <t>refrigerator</t>
  </si>
  <si>
    <t>bed</t>
  </si>
  <si>
    <t>cooktop</t>
  </si>
  <si>
    <t>ac</t>
  </si>
  <si>
    <t>stool</t>
  </si>
  <si>
    <t>speaker</t>
  </si>
  <si>
    <t>laptop</t>
  </si>
  <si>
    <t>door</t>
  </si>
  <si>
    <t>mouse</t>
  </si>
  <si>
    <t>bulb</t>
  </si>
  <si>
    <t>studyTable</t>
  </si>
  <si>
    <t>cupboard</t>
  </si>
  <si>
    <t>blackboard</t>
  </si>
  <si>
    <t>morbi</t>
  </si>
  <si>
    <t>halvad</t>
  </si>
  <si>
    <t>surat</t>
  </si>
  <si>
    <t>vadodara</t>
  </si>
  <si>
    <t>rajkot</t>
  </si>
  <si>
    <t>ahmedabad</t>
  </si>
  <si>
    <t>gandhinagar</t>
  </si>
  <si>
    <t>dhrangadhra</t>
  </si>
  <si>
    <t>hitesh</t>
  </si>
  <si>
    <t>rajendra</t>
  </si>
  <si>
    <t>mohit</t>
  </si>
  <si>
    <t>nikunj</t>
  </si>
  <si>
    <t>profit</t>
  </si>
  <si>
    <t>Grand Total</t>
  </si>
  <si>
    <t>Total-Sales</t>
  </si>
  <si>
    <t>month</t>
  </si>
  <si>
    <t>Sum of Total-Sales</t>
  </si>
  <si>
    <t>Aug</t>
  </si>
  <si>
    <t>Sep</t>
  </si>
  <si>
    <t>Oct</t>
  </si>
  <si>
    <t>2019</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</si>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</sst>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4" xfId="0" applyBorder="1"/>
    <xf numFmtId="0" fontId="0" fillId="0" borderId="6" xfId="0" applyBorder="1" applyAlignment="1">
      <alignment horizontal="center" vertical="center"/>
    </xf>
    <xf numFmtId="164"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8" xfId="0" applyBorder="1"/>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4" xfId="0" applyBorder="1" applyAlignment="1">
      <alignment horizontal="center" vertical="center"/>
    </xf>
    <xf numFmtId="0" fontId="0" fillId="2" borderId="4" xfId="0" applyFill="1" applyBorder="1" applyAlignment="1">
      <alignment horizontal="center"/>
    </xf>
    <xf numFmtId="0" fontId="0" fillId="2" borderId="9" xfId="0" applyFill="1" applyBorder="1" applyAlignment="1">
      <alignment horizontal="center"/>
    </xf>
    <xf numFmtId="0" fontId="0" fillId="2" borderId="3" xfId="0" applyFill="1" applyBorder="1" applyAlignment="1">
      <alignment horizontal="center"/>
    </xf>
  </cellXfs>
  <cellStyles count="1">
    <cellStyle name="Normal" xfId="0" builtinId="0"/>
  </cellStyles>
  <dxfs count="18">
    <dxf>
      <font>
        <color rgb="FF9C0006"/>
      </font>
      <fill>
        <patternFill>
          <bgColor rgb="FFFFC7CE"/>
        </patternFill>
      </fill>
    </dxf>
    <dxf>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[Sales&amp;Profit-exel.xlsx]PivotTable!PivotTable3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Total-Sales</a:t>
            </a:r>
          </a:p>
          <a:p>
            <a:pPr>
              <a:defRPr/>
            </a:pPr>
            <a:endParaRPr lang="en-IN"/>
          </a:p>
        </c:rich>
      </c:tx>
      <c:layout>
        <c:manualLayout>
          <c:xMode val="edge"/>
          <c:yMode val="edge"/>
          <c:x val="0.32340723320566811"/>
          <c:y val="0.1052786563912796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2A-4906-92E4-68060E9DE1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2A-4906-92E4-68060E9DE1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2A-4906-92E4-68060E9DE1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PivotTable!$A$4:$A$7</c:f>
              <c:strCache>
                <c:ptCount val="3"/>
                <c:pt idx="0">
                  <c:v>Aug</c:v>
                </c:pt>
                <c:pt idx="1">
                  <c:v>Sep</c:v>
                </c:pt>
                <c:pt idx="2">
                  <c:v>Oct</c:v>
                </c:pt>
              </c:strCache>
            </c:strRef>
          </c:cat>
          <c:val>
            <c:numRef>
              <c:f>PivotTable!$B$4:$B$7</c:f>
              <c:numCache>
                <c:formatCode>General</c:formatCode>
                <c:ptCount val="3"/>
                <c:pt idx="0">
                  <c:v>361000</c:v>
                </c:pt>
                <c:pt idx="1">
                  <c:v>1464581</c:v>
                </c:pt>
                <c:pt idx="2">
                  <c:v>109250</c:v>
                </c:pt>
              </c:numCache>
            </c:numRef>
          </c:val>
          <c:extLst>
            <c:ext xmlns:c16="http://schemas.microsoft.com/office/drawing/2014/chart" uri="{C3380CC4-5D6E-409C-BE32-E72D297353CC}">
              <c16:uniqueId val="{00000006-202A-4906-92E4-68060E9DE1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[Sales&amp;Profit-exel.xlsx]PivotTable!PivotTable4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in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PivotTable!$D$4:$D$12</c:f>
              <c:strCache>
                <c:ptCount val="8"/>
                <c:pt idx="0">
                  <c:v>ahmedabad</c:v>
                </c:pt>
                <c:pt idx="1">
                  <c:v>dhrangadhra</c:v>
                </c:pt>
                <c:pt idx="2">
                  <c:v>gandhinagar</c:v>
                </c:pt>
                <c:pt idx="3">
                  <c:v>halvad</c:v>
                </c:pt>
                <c:pt idx="4">
                  <c:v>morbi</c:v>
                </c:pt>
                <c:pt idx="5">
                  <c:v>rajkot</c:v>
                </c:pt>
                <c:pt idx="6">
                  <c:v>surat</c:v>
                </c:pt>
                <c:pt idx="7">
                  <c:v>vadodara</c:v>
                </c:pt>
              </c:strCache>
            </c:strRef>
          </c:cat>
          <c:val>
            <c:numRef>
              <c:f>PivotTable!$E$4:$E$12</c:f>
              <c:numCache>
                <c:formatCode>General</c:formatCode>
                <c:ptCount val="8"/>
                <c:pt idx="0">
                  <c:v>117500</c:v>
                </c:pt>
                <c:pt idx="1">
                  <c:v>92800</c:v>
                </c:pt>
                <c:pt idx="2">
                  <c:v>234120</c:v>
                </c:pt>
                <c:pt idx="3">
                  <c:v>230000</c:v>
                </c:pt>
                <c:pt idx="4">
                  <c:v>413000</c:v>
                </c:pt>
                <c:pt idx="5">
                  <c:v>362821</c:v>
                </c:pt>
                <c:pt idx="6">
                  <c:v>320000</c:v>
                </c:pt>
                <c:pt idx="7">
                  <c:v>164590</c:v>
                </c:pt>
              </c:numCache>
            </c:numRef>
          </c:val>
          <c:extLst>
            <c:ext xmlns:c16="http://schemas.microsoft.com/office/drawing/2014/chart" uri="{C3380CC4-5D6E-409C-BE32-E72D297353CC}">
              <c16:uniqueId val="{00000000-92DA-4E8B-9F1D-8EAC28F5AE5A}"/>
            </c:ext>
          </c:extLst>
        </c:ser>
        <c:dLbls>
          <c:dLblPos val="inEnd"/>
          <c:showLegendKey val="0"/>
          <c:showVal val="1"/>
          <c:showCatName val="0"/>
          <c:showSerName val="0"/>
          <c:showPercent val="0"/>
          <c:showBubbleSize val="0"/>
        </c:dLbls>
        <c:gapWidth val="65"/>
        <c:axId val="747074543"/>
        <c:axId val="747075023"/>
      </c:barChart>
      <c:catAx>
        <c:axId val="7470745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7075023"/>
        <c:crosses val="autoZero"/>
        <c:auto val="1"/>
        <c:lblAlgn val="ctr"/>
        <c:lblOffset val="100"/>
        <c:noMultiLvlLbl val="0"/>
      </c:catAx>
      <c:valAx>
        <c:axId val="7470750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70745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596747</xdr:colOff>
      <xdr:row>1</xdr:row>
      <xdr:rowOff>18143</xdr:rowOff>
    </xdr:from>
    <xdr:to>
      <xdr:col>10</xdr:col>
      <xdr:colOff>599902</xdr:colOff>
      <xdr:row>14</xdr:row>
      <xdr:rowOff>61061</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B5EB11EA-9835-4EA1-94B7-4DB355772B7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838241" y="201757"/>
              <a:ext cx="1820938" cy="2429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595811</xdr:colOff>
      <xdr:row>1</xdr:row>
      <xdr:rowOff>16800</xdr:rowOff>
    </xdr:from>
    <xdr:to>
      <xdr:col>15</xdr:col>
      <xdr:colOff>604344</xdr:colOff>
      <xdr:row>14</xdr:row>
      <xdr:rowOff>59718</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E7250943-6386-4BB6-8941-8625AC36F36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866944" y="200414"/>
              <a:ext cx="1826316" cy="2429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xdr:row>
      <xdr:rowOff>18143</xdr:rowOff>
    </xdr:from>
    <xdr:to>
      <xdr:col>20</xdr:col>
      <xdr:colOff>605565</xdr:colOff>
      <xdr:row>14</xdr:row>
      <xdr:rowOff>61061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2412E949-15D5-429E-8522-E22085CCE8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35730" y="203494"/>
              <a:ext cx="1820646" cy="2452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54429</xdr:colOff>
      <xdr:row>1</xdr:row>
      <xdr:rowOff>18143</xdr:rowOff>
    </xdr:from>
    <xdr:to>
      <xdr:col>26</xdr:col>
      <xdr:colOff>33259</xdr:colOff>
      <xdr:row>14</xdr:row>
      <xdr:rowOff>61062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2739C9AB-3E77-431E-BE9F-EDCD81B42EA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027861" y="203494"/>
              <a:ext cx="1801452" cy="2452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18361</xdr:colOff>
      <xdr:row>15</xdr:row>
      <xdr:rowOff>174434</xdr:rowOff>
    </xdr:from>
    <xdr:to>
      <xdr:col>15</xdr:col>
      <xdr:colOff>534274</xdr:colOff>
      <xdr:row>36</xdr:row>
      <xdr:rowOff>58030</xdr:rowOff>
    </xdr:to>
    <xdr:graphicFrame macro="">
      <xdr:nvGraphicFramePr>
        <xdr:cNvPr id="6" name="Chart 5">
          <a:extLst>
            <a:ext uri="{FF2B5EF4-FFF2-40B4-BE49-F238E27FC236}">
              <a16:creationId xmlns:a16="http://schemas.microsoft.com/office/drawing/2014/main" id="{C83A702F-0ED4-452A-97AB-9E71C0206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558801</xdr:colOff>
      <xdr:row>16</xdr:row>
      <xdr:rowOff>9182</xdr:rowOff>
    </xdr:from>
    <xdr:to>
      <xdr:col>26</xdr:col>
      <xdr:colOff>27543</xdr:colOff>
      <xdr:row>36</xdr:row>
      <xdr:rowOff>69007</xdr:rowOff>
    </xdr:to>
    <xdr:graphicFrame macro="">
      <xdr:nvGraphicFramePr>
        <xdr:cNvPr id="7" name="Chart 6">
          <a:extLst>
            <a:ext uri="{FF2B5EF4-FFF2-40B4-BE49-F238E27FC236}">
              <a16:creationId xmlns:a16="http://schemas.microsoft.com/office/drawing/2014/main" id="{FD1DEC49-7AA7-4D6E-8AC6-68DD4822D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 refreshedDate="46033.500659722224" createdVersion="8" refreshedVersion="8" minRefreshableVersion="3" recordCount="40" xr:uid="{36982D74-3600-4F19-9454-111B80CC2EC1}">
  <cacheSource type="worksheet">
    <worksheetSource name="Table3"/>
  </cacheSource>
  <cacheFields count="12">
    <cacheField name="Order_id" numFmtId="0">
      <sharedItems containsSemiMixedTypes="0" containsString="0" containsNumber="1" containsInteger="1" minValue="1" maxValue="40"/>
    </cacheField>
    <cacheField name="Date " numFmtId="164">
      <sharedItems containsSemiMixedTypes="0" containsNonDate="0" containsDate="1" containsString="0" minDate="2019-08-25T00:00:00" maxDate="2019-10-04T00:00:00"/>
    </cacheField>
    <cacheField name="month" numFmtId="164">
      <sharedItems count="3">
        <s v="Aug"/>
        <s v="Sep"/>
        <s v="Oct"/>
      </sharedItems>
    </cacheField>
    <cacheField name="Year" numFmtId="164">
      <sharedItems count="1">
        <s v="2019"/>
      </sharedItems>
    </cacheField>
    <cacheField name="Category" numFmtId="0">
      <sharedItems count="2">
        <s v="electronic"/>
        <s v="furniture"/>
      </sharedItems>
    </cacheField>
    <cacheField name="Product" numFmtId="0">
      <sharedItems count="18">
        <s v="Tv"/>
        <s v="Chair"/>
        <s v="mobile"/>
        <s v="sofa"/>
        <s v="table"/>
        <s v="refrigerator"/>
        <s v="bed"/>
        <s v="cooktop"/>
        <s v="ac"/>
        <s v="stool"/>
        <s v="speaker"/>
        <s v="laptop"/>
        <s v="door"/>
        <s v="mouse"/>
        <s v="bulb"/>
        <s v="studyTable"/>
        <s v="cupboard"/>
        <s v="blackboard"/>
      </sharedItems>
    </cacheField>
    <cacheField name="Region" numFmtId="0">
      <sharedItems count="8">
        <s v="morbi"/>
        <s v="halvad"/>
        <s v="surat"/>
        <s v="vadodara"/>
        <s v="rajkot"/>
        <s v="ahmedabad"/>
        <s v="gandhinagar"/>
        <s v="dhrangadhra"/>
      </sharedItems>
    </cacheField>
    <cacheField name="Salesperson" numFmtId="0">
      <sharedItems/>
    </cacheField>
    <cacheField name="Quantity" numFmtId="0">
      <sharedItems containsSemiMixedTypes="0" containsString="0" containsNumber="1" containsInteger="1" minValue="1" maxValue="4" count="4">
        <n v="1"/>
        <n v="2"/>
        <n v="3"/>
        <n v="4"/>
      </sharedItems>
    </cacheField>
    <cacheField name="Unitprice" numFmtId="0">
      <sharedItems containsSemiMixedTypes="0" containsString="0" containsNumber="1" containsInteger="1" minValue="120" maxValue="90000"/>
    </cacheField>
    <cacheField name="Total-Sales" numFmtId="0">
      <sharedItems containsSemiMixedTypes="0" containsString="0" containsNumber="1" containsInteger="1" minValue="120" maxValue="180000" count="27">
        <n v="35000"/>
        <n v="50000"/>
        <n v="12000"/>
        <n v="75000"/>
        <n v="140000"/>
        <n v="25000"/>
        <n v="24000"/>
        <n v="70000"/>
        <n v="100000"/>
        <n v="30000"/>
        <n v="1000"/>
        <n v="60000"/>
        <n v="105000"/>
        <n v="45000"/>
        <n v="48000"/>
        <n v="38340"/>
        <n v="120000"/>
        <n v="75821"/>
        <n v="2500"/>
        <n v="120"/>
        <n v="25800"/>
        <n v="85000"/>
        <n v="180000"/>
        <n v="17000"/>
        <n v="90000"/>
        <n v="1250"/>
        <n v="18000"/>
      </sharedItems>
    </cacheField>
    <cacheField name="profit" numFmtId="0">
      <sharedItems containsSemiMixedTypes="0" containsString="0" containsNumber="1" minValue="12" maxValue="9000"/>
    </cacheField>
  </cacheFields>
  <extLst>
    <ext xmlns:x14="http://schemas.microsoft.com/office/spreadsheetml/2009/9/main" uri="{725AE2AE-9491-48be-B2B4-4EB974FC3084}">
      <x14:pivotCacheDefinition pivotCacheId="1126159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d v="2019-08-25T00:00:00"/>
    <x v="0"/>
    <x v="0"/>
    <x v="0"/>
    <x v="0"/>
    <x v="0"/>
    <s v="hitesh"/>
    <x v="0"/>
    <n v="35000"/>
    <x v="0"/>
    <n v="3500"/>
  </r>
  <r>
    <n v="2"/>
    <d v="2019-08-26T00:00:00"/>
    <x v="0"/>
    <x v="0"/>
    <x v="1"/>
    <x v="1"/>
    <x v="1"/>
    <s v="rajendra"/>
    <x v="1"/>
    <n v="25000"/>
    <x v="1"/>
    <n v="2500"/>
  </r>
  <r>
    <n v="3"/>
    <d v="2019-08-27T00:00:00"/>
    <x v="0"/>
    <x v="0"/>
    <x v="0"/>
    <x v="2"/>
    <x v="2"/>
    <s v="hitesh"/>
    <x v="0"/>
    <n v="12000"/>
    <x v="2"/>
    <n v="1200"/>
  </r>
  <r>
    <n v="4"/>
    <d v="2019-08-28T00:00:00"/>
    <x v="0"/>
    <x v="0"/>
    <x v="1"/>
    <x v="3"/>
    <x v="3"/>
    <s v="mohit"/>
    <x v="2"/>
    <n v="25000"/>
    <x v="3"/>
    <n v="2500"/>
  </r>
  <r>
    <n v="5"/>
    <d v="2019-08-29T00:00:00"/>
    <x v="0"/>
    <x v="0"/>
    <x v="1"/>
    <x v="1"/>
    <x v="0"/>
    <s v="nikunj"/>
    <x v="3"/>
    <n v="35000"/>
    <x v="4"/>
    <n v="3500"/>
  </r>
  <r>
    <n v="6"/>
    <d v="2019-08-30T00:00:00"/>
    <x v="0"/>
    <x v="0"/>
    <x v="0"/>
    <x v="0"/>
    <x v="2"/>
    <s v="mohit"/>
    <x v="0"/>
    <n v="25000"/>
    <x v="5"/>
    <n v="2500"/>
  </r>
  <r>
    <n v="7"/>
    <d v="2019-08-31T00:00:00"/>
    <x v="0"/>
    <x v="0"/>
    <x v="0"/>
    <x v="0"/>
    <x v="4"/>
    <s v="nikunj"/>
    <x v="1"/>
    <n v="12000"/>
    <x v="6"/>
    <n v="1200"/>
  </r>
  <r>
    <n v="8"/>
    <d v="2019-09-01T00:00:00"/>
    <x v="1"/>
    <x v="0"/>
    <x v="1"/>
    <x v="4"/>
    <x v="1"/>
    <s v="rajendra"/>
    <x v="1"/>
    <n v="35000"/>
    <x v="7"/>
    <n v="3500"/>
  </r>
  <r>
    <n v="9"/>
    <d v="2019-09-02T00:00:00"/>
    <x v="1"/>
    <x v="0"/>
    <x v="0"/>
    <x v="5"/>
    <x v="2"/>
    <s v="hitesh"/>
    <x v="2"/>
    <n v="25000"/>
    <x v="3"/>
    <n v="2500"/>
  </r>
  <r>
    <n v="10"/>
    <d v="2019-09-03T00:00:00"/>
    <x v="1"/>
    <x v="0"/>
    <x v="1"/>
    <x v="6"/>
    <x v="4"/>
    <s v="hitesh"/>
    <x v="3"/>
    <n v="25000"/>
    <x v="8"/>
    <n v="2500"/>
  </r>
  <r>
    <n v="11"/>
    <d v="2019-09-04T00:00:00"/>
    <x v="1"/>
    <x v="0"/>
    <x v="0"/>
    <x v="7"/>
    <x v="5"/>
    <s v="hitesh"/>
    <x v="0"/>
    <n v="30000"/>
    <x v="9"/>
    <n v="3000"/>
  </r>
  <r>
    <n v="12"/>
    <d v="2019-09-05T00:00:00"/>
    <x v="1"/>
    <x v="0"/>
    <x v="0"/>
    <x v="8"/>
    <x v="2"/>
    <s v="mohit"/>
    <x v="1"/>
    <n v="15000"/>
    <x v="9"/>
    <n v="1500"/>
  </r>
  <r>
    <n v="13"/>
    <d v="2019-09-06T00:00:00"/>
    <x v="1"/>
    <x v="0"/>
    <x v="0"/>
    <x v="8"/>
    <x v="4"/>
    <s v="mohit"/>
    <x v="0"/>
    <n v="25000"/>
    <x v="5"/>
    <n v="2500"/>
  </r>
  <r>
    <n v="14"/>
    <d v="2019-09-07T00:00:00"/>
    <x v="1"/>
    <x v="0"/>
    <x v="0"/>
    <x v="8"/>
    <x v="0"/>
    <s v="rajendra"/>
    <x v="0"/>
    <n v="30000"/>
    <x v="9"/>
    <n v="3000"/>
  </r>
  <r>
    <n v="15"/>
    <d v="2019-09-08T00:00:00"/>
    <x v="1"/>
    <x v="0"/>
    <x v="1"/>
    <x v="3"/>
    <x v="6"/>
    <s v="nikunj"/>
    <x v="1"/>
    <n v="12000"/>
    <x v="6"/>
    <n v="1200"/>
  </r>
  <r>
    <n v="16"/>
    <d v="2019-09-09T00:00:00"/>
    <x v="1"/>
    <x v="0"/>
    <x v="1"/>
    <x v="9"/>
    <x v="2"/>
    <s v="rajendra"/>
    <x v="0"/>
    <n v="1000"/>
    <x v="10"/>
    <n v="100"/>
  </r>
  <r>
    <n v="17"/>
    <d v="2019-09-10T00:00:00"/>
    <x v="1"/>
    <x v="0"/>
    <x v="0"/>
    <x v="0"/>
    <x v="3"/>
    <s v="mohit"/>
    <x v="1"/>
    <n v="25000"/>
    <x v="1"/>
    <n v="2500"/>
  </r>
  <r>
    <n v="18"/>
    <d v="2019-09-11T00:00:00"/>
    <x v="1"/>
    <x v="0"/>
    <x v="1"/>
    <x v="6"/>
    <x v="0"/>
    <s v="hitesh"/>
    <x v="0"/>
    <n v="30000"/>
    <x v="9"/>
    <n v="3000"/>
  </r>
  <r>
    <n v="19"/>
    <d v="2019-09-12T00:00:00"/>
    <x v="1"/>
    <x v="0"/>
    <x v="0"/>
    <x v="10"/>
    <x v="1"/>
    <s v="nikunj"/>
    <x v="1"/>
    <n v="25000"/>
    <x v="1"/>
    <n v="2500"/>
  </r>
  <r>
    <n v="20"/>
    <d v="2019-09-13T00:00:00"/>
    <x v="1"/>
    <x v="0"/>
    <x v="0"/>
    <x v="11"/>
    <x v="6"/>
    <s v="mohit"/>
    <x v="0"/>
    <n v="30000"/>
    <x v="9"/>
    <n v="3000"/>
  </r>
  <r>
    <n v="21"/>
    <d v="2019-09-14T00:00:00"/>
    <x v="1"/>
    <x v="0"/>
    <x v="1"/>
    <x v="4"/>
    <x v="7"/>
    <s v="rajendra"/>
    <x v="1"/>
    <n v="25000"/>
    <x v="1"/>
    <n v="2500"/>
  </r>
  <r>
    <n v="22"/>
    <d v="2019-09-15T00:00:00"/>
    <x v="1"/>
    <x v="0"/>
    <x v="1"/>
    <x v="12"/>
    <x v="1"/>
    <s v="nikunj"/>
    <x v="1"/>
    <n v="30000"/>
    <x v="11"/>
    <n v="3000"/>
  </r>
  <r>
    <n v="23"/>
    <d v="2019-09-16T00:00:00"/>
    <x v="1"/>
    <x v="0"/>
    <x v="0"/>
    <x v="2"/>
    <x v="0"/>
    <s v="nikunj"/>
    <x v="2"/>
    <n v="35000"/>
    <x v="12"/>
    <n v="3500"/>
  </r>
  <r>
    <n v="24"/>
    <d v="2019-09-17T00:00:00"/>
    <x v="1"/>
    <x v="0"/>
    <x v="1"/>
    <x v="12"/>
    <x v="2"/>
    <s v="mohit"/>
    <x v="0"/>
    <n v="12000"/>
    <x v="2"/>
    <n v="1200"/>
  </r>
  <r>
    <n v="25"/>
    <d v="2019-09-18T00:00:00"/>
    <x v="1"/>
    <x v="0"/>
    <x v="1"/>
    <x v="9"/>
    <x v="0"/>
    <s v="rajendra"/>
    <x v="1"/>
    <n v="15000"/>
    <x v="9"/>
    <n v="1500"/>
  </r>
  <r>
    <n v="26"/>
    <d v="2019-09-19T00:00:00"/>
    <x v="1"/>
    <x v="0"/>
    <x v="1"/>
    <x v="9"/>
    <x v="2"/>
    <s v="rajendra"/>
    <x v="0"/>
    <n v="45000"/>
    <x v="13"/>
    <n v="4500"/>
  </r>
  <r>
    <n v="27"/>
    <d v="2019-09-20T00:00:00"/>
    <x v="1"/>
    <x v="0"/>
    <x v="0"/>
    <x v="13"/>
    <x v="4"/>
    <s v="mohit"/>
    <x v="1"/>
    <n v="24000"/>
    <x v="14"/>
    <n v="2400"/>
  </r>
  <r>
    <n v="28"/>
    <d v="2019-09-21T00:00:00"/>
    <x v="1"/>
    <x v="0"/>
    <x v="0"/>
    <x v="11"/>
    <x v="3"/>
    <s v="mohit"/>
    <x v="2"/>
    <n v="12780"/>
    <x v="15"/>
    <n v="1278"/>
  </r>
  <r>
    <n v="29"/>
    <d v="2019-09-22T00:00:00"/>
    <x v="1"/>
    <x v="0"/>
    <x v="1"/>
    <x v="1"/>
    <x v="2"/>
    <s v="rajendra"/>
    <x v="1"/>
    <n v="60000"/>
    <x v="16"/>
    <n v="6000"/>
  </r>
  <r>
    <n v="30"/>
    <d v="2019-09-23T00:00:00"/>
    <x v="1"/>
    <x v="0"/>
    <x v="0"/>
    <x v="14"/>
    <x v="4"/>
    <s v="nikunj"/>
    <x v="0"/>
    <n v="75821"/>
    <x v="17"/>
    <n v="7582.1"/>
  </r>
  <r>
    <n v="31"/>
    <d v="2019-09-24T00:00:00"/>
    <x v="1"/>
    <x v="0"/>
    <x v="1"/>
    <x v="9"/>
    <x v="5"/>
    <s v="nikunj"/>
    <x v="1"/>
    <n v="1250"/>
    <x v="18"/>
    <n v="125"/>
  </r>
  <r>
    <n v="32"/>
    <d v="2019-09-25T00:00:00"/>
    <x v="1"/>
    <x v="0"/>
    <x v="0"/>
    <x v="14"/>
    <x v="6"/>
    <s v="hitesh"/>
    <x v="0"/>
    <n v="120"/>
    <x v="19"/>
    <n v="12"/>
  </r>
  <r>
    <n v="33"/>
    <d v="2019-09-26T00:00:00"/>
    <x v="1"/>
    <x v="0"/>
    <x v="1"/>
    <x v="6"/>
    <x v="7"/>
    <s v="hitesh"/>
    <x v="1"/>
    <n v="12900"/>
    <x v="20"/>
    <n v="1290"/>
  </r>
  <r>
    <n v="34"/>
    <d v="2019-09-27T00:00:00"/>
    <x v="1"/>
    <x v="0"/>
    <x v="0"/>
    <x v="11"/>
    <x v="0"/>
    <s v="mohit"/>
    <x v="0"/>
    <n v="25000"/>
    <x v="5"/>
    <n v="2500"/>
  </r>
  <r>
    <n v="35"/>
    <d v="2019-09-28T00:00:00"/>
    <x v="1"/>
    <x v="0"/>
    <x v="0"/>
    <x v="2"/>
    <x v="5"/>
    <s v="rajendra"/>
    <x v="0"/>
    <n v="85000"/>
    <x v="21"/>
    <n v="8500"/>
  </r>
  <r>
    <n v="36"/>
    <d v="2019-09-29T00:00:00"/>
    <x v="1"/>
    <x v="0"/>
    <x v="0"/>
    <x v="2"/>
    <x v="6"/>
    <s v="mohit"/>
    <x v="1"/>
    <n v="90000"/>
    <x v="22"/>
    <n v="9000"/>
  </r>
  <r>
    <n v="37"/>
    <d v="2019-09-30T00:00:00"/>
    <x v="1"/>
    <x v="0"/>
    <x v="1"/>
    <x v="15"/>
    <x v="7"/>
    <s v="nikunj"/>
    <x v="0"/>
    <n v="17000"/>
    <x v="23"/>
    <n v="1700"/>
  </r>
  <r>
    <n v="38"/>
    <d v="2019-10-01T00:00:00"/>
    <x v="2"/>
    <x v="0"/>
    <x v="1"/>
    <x v="16"/>
    <x v="4"/>
    <s v="mohit"/>
    <x v="1"/>
    <n v="45000"/>
    <x v="24"/>
    <n v="4500"/>
  </r>
  <r>
    <n v="39"/>
    <d v="2019-10-02T00:00:00"/>
    <x v="2"/>
    <x v="0"/>
    <x v="1"/>
    <x v="17"/>
    <x v="3"/>
    <s v="hitesh"/>
    <x v="0"/>
    <n v="1250"/>
    <x v="25"/>
    <n v="125"/>
  </r>
  <r>
    <n v="40"/>
    <d v="2019-10-03T00:00:00"/>
    <x v="2"/>
    <x v="0"/>
    <x v="1"/>
    <x v="1"/>
    <x v="0"/>
    <s v="rajendra"/>
    <x v="1"/>
    <n v="9000"/>
    <x v="26"/>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1211B-1E9D-41FE-895C-DCDB58D93B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B7" firstHeaderRow="1" firstDataRow="1" firstDataCol="1"/>
  <pivotFields count="12">
    <pivotField showAll="0"/>
    <pivotField numFmtId="164" showAll="0"/>
    <pivotField axis="axisRow" showAll="0">
      <items count="4">
        <item x="0"/>
        <item x="1"/>
        <item x="2"/>
        <item t="default"/>
      </items>
    </pivotField>
    <pivotField showAll="0">
      <items count="2">
        <item x="0"/>
        <item t="default"/>
      </items>
    </pivotField>
    <pivotField showAll="0">
      <items count="3">
        <item x="0"/>
        <item x="1"/>
        <item t="default"/>
      </items>
    </pivotField>
    <pivotField showAll="0"/>
    <pivotField showAll="0">
      <items count="9">
        <item x="5"/>
        <item x="7"/>
        <item x="6"/>
        <item x="1"/>
        <item x="0"/>
        <item x="4"/>
        <item x="2"/>
        <item x="3"/>
        <item t="default"/>
      </items>
    </pivotField>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Sales" fld="10"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C0A19C-13CD-4B1A-8326-D9E0316DDB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K3:L5" firstHeaderRow="1" firstDataRow="1" firstDataCol="1"/>
  <pivotFields count="12">
    <pivotField showAll="0"/>
    <pivotField numFmtId="164" showAll="0"/>
    <pivotField showAll="0">
      <items count="4">
        <item x="0"/>
        <item x="1"/>
        <item x="2"/>
        <item t="default"/>
      </items>
    </pivotField>
    <pivotField axis="axisRow" showAll="0">
      <items count="2">
        <item x="0"/>
        <item t="default"/>
      </items>
    </pivotField>
    <pivotField showAll="0">
      <items count="3">
        <item x="0"/>
        <item x="1"/>
        <item t="default"/>
      </items>
    </pivotField>
    <pivotField showAll="0"/>
    <pivotField showAll="0">
      <items count="9">
        <item x="5"/>
        <item x="7"/>
        <item x="6"/>
        <item x="1"/>
        <item x="0"/>
        <item x="4"/>
        <item x="2"/>
        <item x="3"/>
        <item t="default"/>
      </items>
    </pivotField>
    <pivotField showAll="0"/>
    <pivotField showAll="0"/>
    <pivotField showAll="0"/>
    <pivotField dataField="1" showAll="0"/>
    <pivotField showAll="0"/>
  </pivotFields>
  <rowFields count="1">
    <field x="3"/>
  </rowFields>
  <rowItems count="2">
    <i>
      <x/>
    </i>
    <i t="grand">
      <x/>
    </i>
  </rowItems>
  <colItems count="1">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D5788A-AF26-4FA9-8799-2EBBC772DC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G3:I9" firstHeaderRow="0" firstDataRow="1" firstDataCol="1"/>
  <pivotFields count="12">
    <pivotField showAll="0"/>
    <pivotField numFmtId="164" showAll="0"/>
    <pivotField showAll="0">
      <items count="4">
        <item x="0"/>
        <item x="1"/>
        <item x="2"/>
        <item t="default"/>
      </items>
    </pivotField>
    <pivotField showAll="0">
      <items count="2">
        <item x="0"/>
        <item t="default"/>
      </items>
    </pivotField>
    <pivotField showAll="0">
      <items count="3">
        <item x="0"/>
        <item x="1"/>
        <item t="default"/>
      </items>
    </pivotField>
    <pivotField axis="axisRow" showAll="0" measureFilter="1">
      <items count="19">
        <item x="8"/>
        <item x="6"/>
        <item x="17"/>
        <item x="14"/>
        <item x="1"/>
        <item x="7"/>
        <item x="16"/>
        <item x="12"/>
        <item x="11"/>
        <item x="2"/>
        <item x="13"/>
        <item x="5"/>
        <item x="3"/>
        <item x="10"/>
        <item x="9"/>
        <item x="15"/>
        <item x="4"/>
        <item x="0"/>
        <item t="default"/>
      </items>
    </pivotField>
    <pivotField showAll="0">
      <items count="9">
        <item x="5"/>
        <item x="7"/>
        <item x="6"/>
        <item x="1"/>
        <item x="0"/>
        <item x="4"/>
        <item x="2"/>
        <item x="3"/>
        <item t="default"/>
      </items>
    </pivotField>
    <pivotField showAll="0"/>
    <pivotField dataField="1" showAll="0"/>
    <pivotField showAll="0"/>
    <pivotField dataField="1" showAll="0"/>
    <pivotField showAll="0"/>
  </pivotFields>
  <rowFields count="1">
    <field x="5"/>
  </rowFields>
  <rowItems count="6">
    <i>
      <x v="1"/>
    </i>
    <i>
      <x v="4"/>
    </i>
    <i>
      <x v="9"/>
    </i>
    <i>
      <x v="16"/>
    </i>
    <i>
      <x v="17"/>
    </i>
    <i t="grand">
      <x/>
    </i>
  </rowItems>
  <colFields count="1">
    <field x="-2"/>
  </colFields>
  <colItems count="2">
    <i>
      <x/>
    </i>
    <i i="1">
      <x v="1"/>
    </i>
  </colItems>
  <dataFields count="2">
    <dataField name="Sum of Total-Sales" fld="10" baseField="0" baseItem="0"/>
    <dataField name="Sum of Quantity" fld="8" baseField="0"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7C22A-E2AC-4476-B212-27ADA89CC4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D3:E12" firstHeaderRow="1" firstDataRow="1" firstDataCol="1"/>
  <pivotFields count="12">
    <pivotField showAll="0"/>
    <pivotField numFmtId="164" showAll="0"/>
    <pivotField showAll="0">
      <items count="4">
        <item x="0"/>
        <item x="1"/>
        <item x="2"/>
        <item t="default"/>
      </items>
    </pivotField>
    <pivotField showAll="0">
      <items count="2">
        <item x="0"/>
        <item t="default"/>
      </items>
    </pivotField>
    <pivotField showAll="0">
      <items count="3">
        <item x="0"/>
        <item x="1"/>
        <item t="default"/>
      </items>
    </pivotField>
    <pivotField showAll="0"/>
    <pivotField axis="axisRow" showAll="0">
      <items count="9">
        <item x="5"/>
        <item x="7"/>
        <item x="6"/>
        <item x="1"/>
        <item x="0"/>
        <item x="4"/>
        <item x="2"/>
        <item x="3"/>
        <item t="default"/>
      </items>
    </pivotField>
    <pivotField showAll="0"/>
    <pivotField showAll="0"/>
    <pivotField showAll="0"/>
    <pivotField dataField="1" showAll="0"/>
    <pivotField showAll="0"/>
  </pivotFields>
  <rowFields count="1">
    <field x="6"/>
  </rowFields>
  <rowItems count="9">
    <i>
      <x/>
    </i>
    <i>
      <x v="1"/>
    </i>
    <i>
      <x v="2"/>
    </i>
    <i>
      <x v="3"/>
    </i>
    <i>
      <x v="4"/>
    </i>
    <i>
      <x v="5"/>
    </i>
    <i>
      <x v="6"/>
    </i>
    <i>
      <x v="7"/>
    </i>
    <i t="grand">
      <x/>
    </i>
  </rowItems>
  <colItems count="1">
    <i/>
  </colItems>
  <dataFields count="1">
    <dataField name="Sum of Total-Sales" fld="10"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9555421-1372-4A4B-BB7B-CE157D7BADE7}" sourceName="month">
  <pivotTables>
    <pivotTable tabId="5" name="PivotTable5"/>
    <pivotTable tabId="5" name="PivotTable3"/>
    <pivotTable tabId="5" name="PivotTable4"/>
    <pivotTable tabId="5" name="PivotTable6"/>
  </pivotTables>
  <data>
    <tabular pivotCacheId="11261597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7FC3F8-DB3F-4DB8-8250-DAD8B70FFB44}" sourceName="Year">
  <pivotTables>
    <pivotTable tabId="5" name="PivotTable5"/>
    <pivotTable tabId="5" name="PivotTable3"/>
    <pivotTable tabId="5" name="PivotTable4"/>
    <pivotTable tabId="5" name="PivotTable6"/>
  </pivotTables>
  <data>
    <tabular pivotCacheId="1126159746">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BE039F-05FF-4347-8890-30FF908A3384}" sourceName="Category">
  <pivotTables>
    <pivotTable tabId="5" name="PivotTable5"/>
    <pivotTable tabId="5" name="PivotTable3"/>
    <pivotTable tabId="5" name="PivotTable4"/>
    <pivotTable tabId="5" name="PivotTable6"/>
  </pivotTables>
  <data>
    <tabular pivotCacheId="11261597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0578A8-F3FD-4426-9D2D-DDE95245E236}" sourceName="Region">
  <pivotTables>
    <pivotTable tabId="5" name="PivotTable5"/>
    <pivotTable tabId="5" name="PivotTable3"/>
    <pivotTable tabId="5" name="PivotTable4"/>
    <pivotTable tabId="5" name="PivotTable6"/>
  </pivotTables>
  <data>
    <tabular pivotCacheId="1126159746">
      <items count="8">
        <i x="5" s="1"/>
        <i x="7" s="1"/>
        <i x="6" s="1"/>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33A22E8-E221-4173-A144-4372893D5A37}" cache="Slicer_month" caption="month" rowHeight="234950"/>
  <slicer name="Year 1" xr10:uid="{AC6B1EE7-36FB-4CF9-82F5-F1E2EDEDBA50}" cache="Slicer_Year" caption="Year" rowHeight="234950"/>
  <slicer name="Category 1" xr10:uid="{ADEF6A83-C3E8-44D4-8D5F-AB15E708C341}" cache="Slicer_Category" caption="Category" rowHeight="234950"/>
  <slicer name="Region 1" xr10:uid="{00C40E12-FA38-401E-AA27-A078DB6DB83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499200-857C-48CC-9275-388A4CC6EBF9}" name="Table3" displayName="Table3" ref="H3:S43" totalsRowShown="0" headerRowDxfId="17" dataDxfId="15" headerRowBorderDxfId="16" tableBorderDxfId="14" totalsRowBorderDxfId="13">
  <autoFilter ref="H3:S43" xr:uid="{E2499200-857C-48CC-9275-388A4CC6EBF9}"/>
  <tableColumns count="12">
    <tableColumn id="1" xr3:uid="{B8B8B54E-9469-4CC4-8F5C-E4AFC2775813}" name="Order_id" dataDxfId="12"/>
    <tableColumn id="2" xr3:uid="{98F5724A-F80A-4650-ADE0-A0B968829E9A}" name="Date " dataDxfId="11"/>
    <tableColumn id="13" xr3:uid="{92CCFA61-89E9-485C-92C1-7F67C250CC08}" name="month" dataDxfId="10"/>
    <tableColumn id="14" xr3:uid="{24686949-A199-4C75-8194-5C793EBED182}" name="Year" dataDxfId="9"/>
    <tableColumn id="3" xr3:uid="{B788381F-1556-4CE8-8328-40D7B4022A59}" name="Category" dataDxfId="8"/>
    <tableColumn id="4" xr3:uid="{612F10A6-68B2-4841-9A45-553E63E59BEE}" name="Product" dataDxfId="7"/>
    <tableColumn id="5" xr3:uid="{F72E643D-21B8-46A9-8670-880F98043354}" name="Region" dataDxfId="6"/>
    <tableColumn id="6" xr3:uid="{9F14D8AD-7A03-4ADA-99A4-AE30351A3FD5}" name="Salesperson" dataDxfId="5"/>
    <tableColumn id="7" xr3:uid="{18059D3E-523E-4CF2-8076-78408F817973}" name="Quantity" dataDxfId="4"/>
    <tableColumn id="8" xr3:uid="{7D4F0281-E786-4888-964D-0C8689C4FAEF}" name="Unitprice" dataDxfId="3"/>
    <tableColumn id="11" xr3:uid="{C52F24F2-4732-47BE-9DFE-A4A33C202F2E}" name="Total-Sales" dataDxfId="2"/>
    <tableColumn id="9" xr3:uid="{75D521FE-CE33-4F0D-9BDC-EFF6E4795E66}" name="profit" dataDxfId="1">
      <calculatedColumnFormula>Q4*10%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7282-E721-468F-A8BA-6F0F2579E6F9}">
  <dimension ref="A3:L12"/>
  <sheetViews>
    <sheetView topLeftCell="A4" zoomScale="85" zoomScaleNormal="286" workbookViewId="0">
      <selection activeCell="E26" sqref="E26"/>
    </sheetView>
  </sheetViews>
  <sheetFormatPr defaultRowHeight="14.4" x14ac:dyDescent="0.3"/>
  <cols>
    <col min="1" max="1" width="11.44140625" bestFit="1" customWidth="1"/>
    <col min="2" max="2" width="17.44140625" bestFit="1" customWidth="1"/>
    <col min="4" max="4" width="11.6640625" bestFit="1" customWidth="1"/>
    <col min="5" max="5" width="17.44140625" bestFit="1" customWidth="1"/>
    <col min="7" max="7" width="11.44140625" bestFit="1" customWidth="1"/>
    <col min="8" max="8" width="17.44140625" bestFit="1" customWidth="1"/>
    <col min="9" max="9" width="15.77734375" bestFit="1" customWidth="1"/>
    <col min="10" max="10" width="10.109375" customWidth="1"/>
    <col min="11" max="11" width="11.44140625" bestFit="1" customWidth="1"/>
    <col min="12" max="12" width="17.44140625" bestFit="1" customWidth="1"/>
  </cols>
  <sheetData>
    <row r="3" spans="1:12" x14ac:dyDescent="0.3">
      <c r="A3" s="11" t="s">
        <v>9</v>
      </c>
      <c r="B3" t="s">
        <v>49</v>
      </c>
      <c r="D3" s="11" t="s">
        <v>5</v>
      </c>
      <c r="E3" t="s">
        <v>49</v>
      </c>
      <c r="G3" s="11" t="s">
        <v>4</v>
      </c>
      <c r="H3" t="s">
        <v>49</v>
      </c>
      <c r="I3" t="s">
        <v>54</v>
      </c>
      <c r="K3" s="11" t="s">
        <v>10</v>
      </c>
      <c r="L3" t="s">
        <v>49</v>
      </c>
    </row>
    <row r="4" spans="1:12" x14ac:dyDescent="0.3">
      <c r="A4" s="12" t="s">
        <v>50</v>
      </c>
      <c r="B4">
        <v>361000</v>
      </c>
      <c r="D4" s="12" t="s">
        <v>38</v>
      </c>
      <c r="E4">
        <v>117500</v>
      </c>
      <c r="G4" s="12" t="s">
        <v>21</v>
      </c>
      <c r="H4">
        <v>155800</v>
      </c>
      <c r="I4">
        <v>7</v>
      </c>
      <c r="K4" s="12" t="s">
        <v>53</v>
      </c>
      <c r="L4">
        <v>1934831</v>
      </c>
    </row>
    <row r="5" spans="1:12" x14ac:dyDescent="0.3">
      <c r="A5" s="12" t="s">
        <v>51</v>
      </c>
      <c r="B5">
        <v>1464581</v>
      </c>
      <c r="D5" s="12" t="s">
        <v>40</v>
      </c>
      <c r="E5">
        <v>92800</v>
      </c>
      <c r="G5" s="12" t="s">
        <v>14</v>
      </c>
      <c r="H5">
        <v>328000</v>
      </c>
      <c r="I5">
        <v>10</v>
      </c>
      <c r="K5" s="12" t="s">
        <v>46</v>
      </c>
      <c r="L5">
        <v>1934831</v>
      </c>
    </row>
    <row r="6" spans="1:12" x14ac:dyDescent="0.3">
      <c r="A6" s="12" t="s">
        <v>52</v>
      </c>
      <c r="B6">
        <v>109250</v>
      </c>
      <c r="D6" s="12" t="s">
        <v>39</v>
      </c>
      <c r="E6">
        <v>234120</v>
      </c>
      <c r="G6" s="12" t="s">
        <v>15</v>
      </c>
      <c r="H6">
        <v>382000</v>
      </c>
      <c r="I6">
        <v>7</v>
      </c>
    </row>
    <row r="7" spans="1:12" x14ac:dyDescent="0.3">
      <c r="A7" s="12" t="s">
        <v>46</v>
      </c>
      <c r="B7">
        <v>1934831</v>
      </c>
      <c r="D7" s="12" t="s">
        <v>34</v>
      </c>
      <c r="E7">
        <v>230000</v>
      </c>
      <c r="G7" s="12" t="s">
        <v>19</v>
      </c>
      <c r="H7">
        <v>120000</v>
      </c>
      <c r="I7">
        <v>4</v>
      </c>
    </row>
    <row r="8" spans="1:12" x14ac:dyDescent="0.3">
      <c r="D8" s="12" t="s">
        <v>33</v>
      </c>
      <c r="E8">
        <v>413000</v>
      </c>
      <c r="G8" s="12" t="s">
        <v>13</v>
      </c>
      <c r="H8">
        <v>134000</v>
      </c>
      <c r="I8">
        <v>6</v>
      </c>
    </row>
    <row r="9" spans="1:12" x14ac:dyDescent="0.3">
      <c r="D9" s="12" t="s">
        <v>37</v>
      </c>
      <c r="E9">
        <v>362821</v>
      </c>
      <c r="G9" s="12" t="s">
        <v>46</v>
      </c>
      <c r="H9">
        <v>1119800</v>
      </c>
      <c r="I9">
        <v>34</v>
      </c>
    </row>
    <row r="10" spans="1:12" x14ac:dyDescent="0.3">
      <c r="D10" s="12" t="s">
        <v>35</v>
      </c>
      <c r="E10">
        <v>320000</v>
      </c>
    </row>
    <row r="11" spans="1:12" x14ac:dyDescent="0.3">
      <c r="D11" s="12" t="s">
        <v>36</v>
      </c>
      <c r="E11">
        <v>164590</v>
      </c>
    </row>
    <row r="12" spans="1:12" x14ac:dyDescent="0.3">
      <c r="D12" s="12" t="s">
        <v>46</v>
      </c>
      <c r="E12">
        <v>1934831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500D-5356-4E4E-ABE3-D00796C81649}">
  <dimension ref="A1"/>
  <sheetViews>
    <sheetView topLeftCell="B4" zoomScale="83" zoomScaleNormal="74" workbookViewId="0">
      <selection activeCell="AC14" sqref="AC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63A75-4764-4B8D-A858-A65EAF53DED2}">
  <dimension ref="H2:S43"/>
  <sheetViews>
    <sheetView tabSelected="1" topLeftCell="H32" zoomScale="140" zoomScaleNormal="140" workbookViewId="0">
      <selection activeCell="J37" sqref="J37"/>
    </sheetView>
  </sheetViews>
  <sheetFormatPr defaultRowHeight="14.4" x14ac:dyDescent="0.3"/>
  <cols>
    <col min="8" max="8" width="9.6640625" customWidth="1"/>
    <col min="9" max="9" width="17.5546875" bestFit="1" customWidth="1"/>
    <col min="10" max="11" width="17.5546875" customWidth="1"/>
    <col min="12" max="12" width="9.6640625" customWidth="1"/>
    <col min="13" max="13" width="10.6640625" bestFit="1" customWidth="1"/>
    <col min="14" max="14" width="11.33203125" bestFit="1" customWidth="1"/>
    <col min="15" max="15" width="10.77734375" bestFit="1" customWidth="1"/>
    <col min="16" max="19" width="9.6640625" customWidth="1"/>
  </cols>
  <sheetData>
    <row r="2" spans="8:19" x14ac:dyDescent="0.3">
      <c r="H2" s="14" t="s">
        <v>0</v>
      </c>
      <c r="I2" s="15"/>
      <c r="J2" s="15"/>
      <c r="K2" s="15"/>
      <c r="L2" s="15"/>
      <c r="M2" s="15"/>
      <c r="N2" s="15"/>
      <c r="O2" s="15"/>
      <c r="P2" s="15"/>
      <c r="Q2" s="15"/>
      <c r="R2" s="15"/>
      <c r="S2" s="16"/>
    </row>
    <row r="3" spans="8:19" x14ac:dyDescent="0.3">
      <c r="H3" s="9" t="s">
        <v>1</v>
      </c>
      <c r="I3" s="10" t="s">
        <v>2</v>
      </c>
      <c r="J3" s="10" t="s">
        <v>48</v>
      </c>
      <c r="K3" s="10" t="s">
        <v>10</v>
      </c>
      <c r="L3" s="10" t="s">
        <v>3</v>
      </c>
      <c r="M3" s="10" t="s">
        <v>4</v>
      </c>
      <c r="N3" s="10" t="s">
        <v>5</v>
      </c>
      <c r="O3" s="10" t="s">
        <v>6</v>
      </c>
      <c r="P3" s="10" t="s">
        <v>7</v>
      </c>
      <c r="Q3" s="10" t="s">
        <v>8</v>
      </c>
      <c r="R3" s="10" t="s">
        <v>47</v>
      </c>
      <c r="S3" s="10" t="s">
        <v>45</v>
      </c>
    </row>
    <row r="4" spans="8:19" x14ac:dyDescent="0.3">
      <c r="H4" s="3">
        <v>1</v>
      </c>
      <c r="I4" s="2">
        <v>43702</v>
      </c>
      <c r="J4" s="2" t="str">
        <f>TEXT(I4,"MMM")</f>
        <v>Aug</v>
      </c>
      <c r="K4" s="2" t="str">
        <f>TEXT(I4,"yyy")</f>
        <v>2019</v>
      </c>
      <c r="L4" s="1" t="s">
        <v>11</v>
      </c>
      <c r="M4" s="1" t="s">
        <v>13</v>
      </c>
      <c r="N4" s="1" t="s">
        <v>33</v>
      </c>
      <c r="O4" s="1" t="s">
        <v>41</v>
      </c>
      <c r="P4" s="1">
        <v>1</v>
      </c>
      <c r="Q4" s="1">
        <v>35000</v>
      </c>
      <c r="R4" s="13">
        <f>(Table3[[#This Row],[Quantity]]*Table3[[#This Row],[Unitprice]])</f>
        <v>35000</v>
      </c>
      <c r="S4" s="4">
        <f>Q4*10%</f>
        <v>3500</v>
      </c>
    </row>
    <row r="5" spans="8:19" x14ac:dyDescent="0.3">
      <c r="H5" s="3">
        <v>2</v>
      </c>
      <c r="I5" s="2">
        <v>43703</v>
      </c>
      <c r="J5" s="2" t="str">
        <f t="shared" ref="J5:J43" si="0">TEXT(I5,"MMM")</f>
        <v>Aug</v>
      </c>
      <c r="K5" s="2" t="str">
        <f t="shared" ref="K5:K43" si="1">TEXT(I5,"yyy")</f>
        <v>2019</v>
      </c>
      <c r="L5" s="1" t="s">
        <v>12</v>
      </c>
      <c r="M5" s="1" t="s">
        <v>14</v>
      </c>
      <c r="N5" s="1" t="s">
        <v>34</v>
      </c>
      <c r="O5" s="1" t="s">
        <v>42</v>
      </c>
      <c r="P5" s="1">
        <v>2</v>
      </c>
      <c r="Q5" s="1">
        <v>25000</v>
      </c>
      <c r="R5" s="13">
        <f>(Table3[[#This Row],[Quantity]]*Table3[[#This Row],[Unitprice]])</f>
        <v>50000</v>
      </c>
      <c r="S5" s="4">
        <f t="shared" ref="S5:S43" si="2">Q5*10%</f>
        <v>2500</v>
      </c>
    </row>
    <row r="6" spans="8:19" x14ac:dyDescent="0.3">
      <c r="H6" s="3">
        <v>3</v>
      </c>
      <c r="I6" s="2">
        <v>43704</v>
      </c>
      <c r="J6" s="2" t="str">
        <f t="shared" si="0"/>
        <v>Aug</v>
      </c>
      <c r="K6" s="2" t="str">
        <f t="shared" si="1"/>
        <v>2019</v>
      </c>
      <c r="L6" s="1" t="s">
        <v>11</v>
      </c>
      <c r="M6" s="1" t="s">
        <v>15</v>
      </c>
      <c r="N6" s="1" t="s">
        <v>35</v>
      </c>
      <c r="O6" s="1" t="s">
        <v>41</v>
      </c>
      <c r="P6" s="1">
        <v>1</v>
      </c>
      <c r="Q6" s="1">
        <v>12000</v>
      </c>
      <c r="R6" s="13">
        <f>(Table3[[#This Row],[Quantity]]*Table3[[#This Row],[Unitprice]])</f>
        <v>12000</v>
      </c>
      <c r="S6" s="4">
        <f t="shared" si="2"/>
        <v>1200</v>
      </c>
    </row>
    <row r="7" spans="8:19" x14ac:dyDescent="0.3">
      <c r="H7" s="3">
        <v>4</v>
      </c>
      <c r="I7" s="2">
        <v>43705</v>
      </c>
      <c r="J7" s="2" t="str">
        <f t="shared" si="0"/>
        <v>Aug</v>
      </c>
      <c r="K7" s="2" t="str">
        <f t="shared" si="1"/>
        <v>2019</v>
      </c>
      <c r="L7" s="1" t="s">
        <v>12</v>
      </c>
      <c r="M7" s="1" t="s">
        <v>16</v>
      </c>
      <c r="N7" s="1" t="s">
        <v>36</v>
      </c>
      <c r="O7" s="1" t="s">
        <v>43</v>
      </c>
      <c r="P7" s="1">
        <v>3</v>
      </c>
      <c r="Q7" s="1">
        <v>25000</v>
      </c>
      <c r="R7" s="13">
        <f>(Table3[[#This Row],[Quantity]]*Table3[[#This Row],[Unitprice]])</f>
        <v>75000</v>
      </c>
      <c r="S7" s="4">
        <f t="shared" si="2"/>
        <v>2500</v>
      </c>
    </row>
    <row r="8" spans="8:19" x14ac:dyDescent="0.3">
      <c r="H8" s="3">
        <v>5</v>
      </c>
      <c r="I8" s="2">
        <v>43706</v>
      </c>
      <c r="J8" s="2" t="str">
        <f t="shared" si="0"/>
        <v>Aug</v>
      </c>
      <c r="K8" s="2" t="str">
        <f t="shared" si="1"/>
        <v>2019</v>
      </c>
      <c r="L8" s="1" t="s">
        <v>12</v>
      </c>
      <c r="M8" s="1" t="s">
        <v>17</v>
      </c>
      <c r="N8" s="1" t="s">
        <v>33</v>
      </c>
      <c r="O8" s="1" t="s">
        <v>44</v>
      </c>
      <c r="P8" s="1">
        <v>4</v>
      </c>
      <c r="Q8" s="1">
        <v>35000</v>
      </c>
      <c r="R8" s="13">
        <f>(Table3[[#This Row],[Quantity]]*Table3[[#This Row],[Unitprice]])</f>
        <v>140000</v>
      </c>
      <c r="S8" s="4">
        <f t="shared" si="2"/>
        <v>3500</v>
      </c>
    </row>
    <row r="9" spans="8:19" x14ac:dyDescent="0.3">
      <c r="H9" s="3">
        <v>6</v>
      </c>
      <c r="I9" s="2">
        <v>43707</v>
      </c>
      <c r="J9" s="2" t="str">
        <f t="shared" si="0"/>
        <v>Aug</v>
      </c>
      <c r="K9" s="2" t="str">
        <f t="shared" si="1"/>
        <v>2019</v>
      </c>
      <c r="L9" s="1" t="s">
        <v>11</v>
      </c>
      <c r="M9" s="1" t="s">
        <v>18</v>
      </c>
      <c r="N9" s="1" t="s">
        <v>35</v>
      </c>
      <c r="O9" s="1" t="s">
        <v>43</v>
      </c>
      <c r="P9" s="1">
        <v>1</v>
      </c>
      <c r="Q9" s="1">
        <v>25000</v>
      </c>
      <c r="R9" s="13">
        <f>(Table3[[#This Row],[Quantity]]*Table3[[#This Row],[Unitprice]])</f>
        <v>25000</v>
      </c>
      <c r="S9" s="4">
        <f t="shared" si="2"/>
        <v>2500</v>
      </c>
    </row>
    <row r="10" spans="8:19" x14ac:dyDescent="0.3">
      <c r="H10" s="3">
        <v>7</v>
      </c>
      <c r="I10" s="2">
        <v>43708</v>
      </c>
      <c r="J10" s="2" t="str">
        <f t="shared" si="0"/>
        <v>Aug</v>
      </c>
      <c r="K10" s="2" t="str">
        <f t="shared" si="1"/>
        <v>2019</v>
      </c>
      <c r="L10" s="1" t="s">
        <v>11</v>
      </c>
      <c r="M10" s="1" t="s">
        <v>18</v>
      </c>
      <c r="N10" s="1" t="s">
        <v>37</v>
      </c>
      <c r="O10" s="1" t="s">
        <v>44</v>
      </c>
      <c r="P10" s="1">
        <v>2</v>
      </c>
      <c r="Q10" s="1">
        <v>12000</v>
      </c>
      <c r="R10" s="13">
        <f>(Table3[[#This Row],[Quantity]]*Table3[[#This Row],[Unitprice]])</f>
        <v>24000</v>
      </c>
      <c r="S10" s="4">
        <f t="shared" si="2"/>
        <v>1200</v>
      </c>
    </row>
    <row r="11" spans="8:19" x14ac:dyDescent="0.3">
      <c r="H11" s="3">
        <v>8</v>
      </c>
      <c r="I11" s="2">
        <v>43709</v>
      </c>
      <c r="J11" s="2" t="str">
        <f t="shared" si="0"/>
        <v>Sep</v>
      </c>
      <c r="K11" s="2" t="str">
        <f t="shared" si="1"/>
        <v>2019</v>
      </c>
      <c r="L11" s="1" t="s">
        <v>12</v>
      </c>
      <c r="M11" s="1" t="s">
        <v>19</v>
      </c>
      <c r="N11" s="1" t="s">
        <v>34</v>
      </c>
      <c r="O11" s="1" t="s">
        <v>42</v>
      </c>
      <c r="P11" s="1">
        <v>2</v>
      </c>
      <c r="Q11" s="1">
        <v>35000</v>
      </c>
      <c r="R11" s="13">
        <f>(Table3[[#This Row],[Quantity]]*Table3[[#This Row],[Unitprice]])</f>
        <v>70000</v>
      </c>
      <c r="S11" s="4">
        <f t="shared" si="2"/>
        <v>3500</v>
      </c>
    </row>
    <row r="12" spans="8:19" x14ac:dyDescent="0.3">
      <c r="H12" s="3">
        <v>9</v>
      </c>
      <c r="I12" s="2">
        <v>43710</v>
      </c>
      <c r="J12" s="2" t="str">
        <f t="shared" si="0"/>
        <v>Sep</v>
      </c>
      <c r="K12" s="2" t="str">
        <f t="shared" si="1"/>
        <v>2019</v>
      </c>
      <c r="L12" s="1" t="s">
        <v>11</v>
      </c>
      <c r="M12" s="1" t="s">
        <v>20</v>
      </c>
      <c r="N12" s="1" t="s">
        <v>35</v>
      </c>
      <c r="O12" s="1" t="s">
        <v>41</v>
      </c>
      <c r="P12" s="1">
        <v>3</v>
      </c>
      <c r="Q12" s="1">
        <v>25000</v>
      </c>
      <c r="R12" s="13">
        <f>(Table3[[#This Row],[Quantity]]*Table3[[#This Row],[Unitprice]])</f>
        <v>75000</v>
      </c>
      <c r="S12" s="4">
        <f t="shared" si="2"/>
        <v>2500</v>
      </c>
    </row>
    <row r="13" spans="8:19" x14ac:dyDescent="0.3">
      <c r="H13" s="3">
        <v>10</v>
      </c>
      <c r="I13" s="2">
        <v>43711</v>
      </c>
      <c r="J13" s="2" t="str">
        <f t="shared" si="0"/>
        <v>Sep</v>
      </c>
      <c r="K13" s="2" t="str">
        <f t="shared" si="1"/>
        <v>2019</v>
      </c>
      <c r="L13" s="1" t="s">
        <v>12</v>
      </c>
      <c r="M13" s="1" t="s">
        <v>21</v>
      </c>
      <c r="N13" s="1" t="s">
        <v>37</v>
      </c>
      <c r="O13" s="1" t="s">
        <v>41</v>
      </c>
      <c r="P13" s="1">
        <v>4</v>
      </c>
      <c r="Q13" s="1">
        <v>25000</v>
      </c>
      <c r="R13" s="13">
        <f>(Table3[[#This Row],[Quantity]]*Table3[[#This Row],[Unitprice]])</f>
        <v>100000</v>
      </c>
      <c r="S13" s="4">
        <f t="shared" si="2"/>
        <v>2500</v>
      </c>
    </row>
    <row r="14" spans="8:19" x14ac:dyDescent="0.3">
      <c r="H14" s="3">
        <v>11</v>
      </c>
      <c r="I14" s="2">
        <v>43712</v>
      </c>
      <c r="J14" s="2" t="str">
        <f t="shared" si="0"/>
        <v>Sep</v>
      </c>
      <c r="K14" s="2" t="str">
        <f t="shared" si="1"/>
        <v>2019</v>
      </c>
      <c r="L14" s="1" t="s">
        <v>11</v>
      </c>
      <c r="M14" s="1" t="s">
        <v>22</v>
      </c>
      <c r="N14" s="1" t="s">
        <v>38</v>
      </c>
      <c r="O14" s="1" t="s">
        <v>41</v>
      </c>
      <c r="P14" s="1">
        <v>1</v>
      </c>
      <c r="Q14" s="1">
        <v>30000</v>
      </c>
      <c r="R14" s="13">
        <f>(Table3[[#This Row],[Quantity]]*Table3[[#This Row],[Unitprice]])</f>
        <v>30000</v>
      </c>
      <c r="S14" s="4">
        <f t="shared" si="2"/>
        <v>3000</v>
      </c>
    </row>
    <row r="15" spans="8:19" x14ac:dyDescent="0.3">
      <c r="H15" s="3">
        <v>12</v>
      </c>
      <c r="I15" s="2">
        <v>43713</v>
      </c>
      <c r="J15" s="2" t="str">
        <f t="shared" si="0"/>
        <v>Sep</v>
      </c>
      <c r="K15" s="2" t="str">
        <f t="shared" si="1"/>
        <v>2019</v>
      </c>
      <c r="L15" s="1" t="s">
        <v>11</v>
      </c>
      <c r="M15" s="1" t="s">
        <v>23</v>
      </c>
      <c r="N15" s="1" t="s">
        <v>35</v>
      </c>
      <c r="O15" s="1" t="s">
        <v>43</v>
      </c>
      <c r="P15" s="1">
        <v>2</v>
      </c>
      <c r="Q15" s="1">
        <v>15000</v>
      </c>
      <c r="R15" s="13">
        <f>(Table3[[#This Row],[Quantity]]*Table3[[#This Row],[Unitprice]])</f>
        <v>30000</v>
      </c>
      <c r="S15" s="4">
        <f t="shared" si="2"/>
        <v>1500</v>
      </c>
    </row>
    <row r="16" spans="8:19" x14ac:dyDescent="0.3">
      <c r="H16" s="3">
        <v>13</v>
      </c>
      <c r="I16" s="2">
        <v>43714</v>
      </c>
      <c r="J16" s="2" t="str">
        <f t="shared" si="0"/>
        <v>Sep</v>
      </c>
      <c r="K16" s="2" t="str">
        <f t="shared" si="1"/>
        <v>2019</v>
      </c>
      <c r="L16" s="1" t="s">
        <v>11</v>
      </c>
      <c r="M16" s="1" t="s">
        <v>23</v>
      </c>
      <c r="N16" s="1" t="s">
        <v>37</v>
      </c>
      <c r="O16" s="1" t="s">
        <v>43</v>
      </c>
      <c r="P16" s="1">
        <v>1</v>
      </c>
      <c r="Q16" s="1">
        <v>25000</v>
      </c>
      <c r="R16" s="13">
        <f>(Table3[[#This Row],[Quantity]]*Table3[[#This Row],[Unitprice]])</f>
        <v>25000</v>
      </c>
      <c r="S16" s="4">
        <f t="shared" si="2"/>
        <v>2500</v>
      </c>
    </row>
    <row r="17" spans="8:19" x14ac:dyDescent="0.3">
      <c r="H17" s="3">
        <v>14</v>
      </c>
      <c r="I17" s="2">
        <v>43715</v>
      </c>
      <c r="J17" s="2" t="str">
        <f t="shared" si="0"/>
        <v>Sep</v>
      </c>
      <c r="K17" s="2" t="str">
        <f t="shared" si="1"/>
        <v>2019</v>
      </c>
      <c r="L17" s="1" t="s">
        <v>11</v>
      </c>
      <c r="M17" s="1" t="s">
        <v>23</v>
      </c>
      <c r="N17" s="1" t="s">
        <v>33</v>
      </c>
      <c r="O17" s="1" t="s">
        <v>42</v>
      </c>
      <c r="P17" s="1">
        <v>1</v>
      </c>
      <c r="Q17" s="1">
        <v>30000</v>
      </c>
      <c r="R17" s="13">
        <f>(Table3[[#This Row],[Quantity]]*Table3[[#This Row],[Unitprice]])</f>
        <v>30000</v>
      </c>
      <c r="S17" s="4">
        <f t="shared" si="2"/>
        <v>3000</v>
      </c>
    </row>
    <row r="18" spans="8:19" x14ac:dyDescent="0.3">
      <c r="H18" s="3">
        <v>15</v>
      </c>
      <c r="I18" s="2">
        <v>43716</v>
      </c>
      <c r="J18" s="2" t="str">
        <f t="shared" si="0"/>
        <v>Sep</v>
      </c>
      <c r="K18" s="2" t="str">
        <f t="shared" si="1"/>
        <v>2019</v>
      </c>
      <c r="L18" s="1" t="s">
        <v>12</v>
      </c>
      <c r="M18" s="1" t="s">
        <v>16</v>
      </c>
      <c r="N18" s="1" t="s">
        <v>39</v>
      </c>
      <c r="O18" s="1" t="s">
        <v>44</v>
      </c>
      <c r="P18" s="1">
        <v>2</v>
      </c>
      <c r="Q18" s="1">
        <v>12000</v>
      </c>
      <c r="R18" s="13">
        <f>(Table3[[#This Row],[Quantity]]*Table3[[#This Row],[Unitprice]])</f>
        <v>24000</v>
      </c>
      <c r="S18" s="4">
        <f t="shared" si="2"/>
        <v>1200</v>
      </c>
    </row>
    <row r="19" spans="8:19" x14ac:dyDescent="0.3">
      <c r="H19" s="3">
        <v>16</v>
      </c>
      <c r="I19" s="2">
        <v>43717</v>
      </c>
      <c r="J19" s="2" t="str">
        <f t="shared" si="0"/>
        <v>Sep</v>
      </c>
      <c r="K19" s="2" t="str">
        <f t="shared" si="1"/>
        <v>2019</v>
      </c>
      <c r="L19" s="1" t="s">
        <v>12</v>
      </c>
      <c r="M19" s="1" t="s">
        <v>24</v>
      </c>
      <c r="N19" s="1" t="s">
        <v>35</v>
      </c>
      <c r="O19" s="1" t="s">
        <v>42</v>
      </c>
      <c r="P19" s="1">
        <v>1</v>
      </c>
      <c r="Q19" s="1">
        <v>1000</v>
      </c>
      <c r="R19" s="13">
        <f>(Table3[[#This Row],[Quantity]]*Table3[[#This Row],[Unitprice]])</f>
        <v>1000</v>
      </c>
      <c r="S19" s="4">
        <f t="shared" si="2"/>
        <v>100</v>
      </c>
    </row>
    <row r="20" spans="8:19" x14ac:dyDescent="0.3">
      <c r="H20" s="3">
        <v>17</v>
      </c>
      <c r="I20" s="2">
        <v>43718</v>
      </c>
      <c r="J20" s="2" t="str">
        <f t="shared" si="0"/>
        <v>Sep</v>
      </c>
      <c r="K20" s="2" t="str">
        <f t="shared" si="1"/>
        <v>2019</v>
      </c>
      <c r="L20" s="1" t="s">
        <v>11</v>
      </c>
      <c r="M20" s="1" t="s">
        <v>18</v>
      </c>
      <c r="N20" s="1" t="s">
        <v>36</v>
      </c>
      <c r="O20" s="1" t="s">
        <v>43</v>
      </c>
      <c r="P20" s="1">
        <v>2</v>
      </c>
      <c r="Q20" s="1">
        <v>25000</v>
      </c>
      <c r="R20" s="13">
        <f>(Table3[[#This Row],[Quantity]]*Table3[[#This Row],[Unitprice]])</f>
        <v>50000</v>
      </c>
      <c r="S20" s="4">
        <f t="shared" si="2"/>
        <v>2500</v>
      </c>
    </row>
    <row r="21" spans="8:19" x14ac:dyDescent="0.3">
      <c r="H21" s="3">
        <v>18</v>
      </c>
      <c r="I21" s="2">
        <v>43719</v>
      </c>
      <c r="J21" s="2" t="str">
        <f t="shared" si="0"/>
        <v>Sep</v>
      </c>
      <c r="K21" s="2" t="str">
        <f t="shared" si="1"/>
        <v>2019</v>
      </c>
      <c r="L21" s="1" t="s">
        <v>12</v>
      </c>
      <c r="M21" s="1" t="s">
        <v>21</v>
      </c>
      <c r="N21" s="1" t="s">
        <v>33</v>
      </c>
      <c r="O21" s="1" t="s">
        <v>41</v>
      </c>
      <c r="P21" s="1">
        <v>1</v>
      </c>
      <c r="Q21" s="1">
        <v>30000</v>
      </c>
      <c r="R21" s="13">
        <f>(Table3[[#This Row],[Quantity]]*Table3[[#This Row],[Unitprice]])</f>
        <v>30000</v>
      </c>
      <c r="S21" s="4">
        <f t="shared" si="2"/>
        <v>3000</v>
      </c>
    </row>
    <row r="22" spans="8:19" x14ac:dyDescent="0.3">
      <c r="H22" s="3">
        <v>19</v>
      </c>
      <c r="I22" s="2">
        <v>43720</v>
      </c>
      <c r="J22" s="2" t="str">
        <f t="shared" si="0"/>
        <v>Sep</v>
      </c>
      <c r="K22" s="2" t="str">
        <f t="shared" si="1"/>
        <v>2019</v>
      </c>
      <c r="L22" s="1" t="s">
        <v>11</v>
      </c>
      <c r="M22" s="1" t="s">
        <v>25</v>
      </c>
      <c r="N22" s="1" t="s">
        <v>34</v>
      </c>
      <c r="O22" s="1" t="s">
        <v>44</v>
      </c>
      <c r="P22" s="1">
        <v>2</v>
      </c>
      <c r="Q22" s="1">
        <v>25000</v>
      </c>
      <c r="R22" s="13">
        <f>(Table3[[#This Row],[Quantity]]*Table3[[#This Row],[Unitprice]])</f>
        <v>50000</v>
      </c>
      <c r="S22" s="4">
        <f t="shared" si="2"/>
        <v>2500</v>
      </c>
    </row>
    <row r="23" spans="8:19" x14ac:dyDescent="0.3">
      <c r="H23" s="3">
        <v>20</v>
      </c>
      <c r="I23" s="2">
        <v>43721</v>
      </c>
      <c r="J23" s="2" t="str">
        <f t="shared" si="0"/>
        <v>Sep</v>
      </c>
      <c r="K23" s="2" t="str">
        <f t="shared" si="1"/>
        <v>2019</v>
      </c>
      <c r="L23" s="1" t="s">
        <v>11</v>
      </c>
      <c r="M23" s="1" t="s">
        <v>26</v>
      </c>
      <c r="N23" s="1" t="s">
        <v>39</v>
      </c>
      <c r="O23" s="1" t="s">
        <v>43</v>
      </c>
      <c r="P23" s="1">
        <v>1</v>
      </c>
      <c r="Q23" s="1">
        <v>30000</v>
      </c>
      <c r="R23" s="13">
        <f>(Table3[[#This Row],[Quantity]]*Table3[[#This Row],[Unitprice]])</f>
        <v>30000</v>
      </c>
      <c r="S23" s="4">
        <f t="shared" si="2"/>
        <v>3000</v>
      </c>
    </row>
    <row r="24" spans="8:19" x14ac:dyDescent="0.3">
      <c r="H24" s="3">
        <v>21</v>
      </c>
      <c r="I24" s="2">
        <v>43722</v>
      </c>
      <c r="J24" s="2" t="str">
        <f t="shared" si="0"/>
        <v>Sep</v>
      </c>
      <c r="K24" s="2" t="str">
        <f t="shared" si="1"/>
        <v>2019</v>
      </c>
      <c r="L24" s="1" t="s">
        <v>12</v>
      </c>
      <c r="M24" s="1" t="s">
        <v>19</v>
      </c>
      <c r="N24" s="1" t="s">
        <v>40</v>
      </c>
      <c r="O24" s="1" t="s">
        <v>42</v>
      </c>
      <c r="P24" s="1">
        <v>2</v>
      </c>
      <c r="Q24" s="1">
        <v>25000</v>
      </c>
      <c r="R24" s="13">
        <f>(Table3[[#This Row],[Quantity]]*Table3[[#This Row],[Unitprice]])</f>
        <v>50000</v>
      </c>
      <c r="S24" s="4">
        <f t="shared" si="2"/>
        <v>2500</v>
      </c>
    </row>
    <row r="25" spans="8:19" x14ac:dyDescent="0.3">
      <c r="H25" s="3">
        <v>22</v>
      </c>
      <c r="I25" s="2">
        <v>43723</v>
      </c>
      <c r="J25" s="2" t="str">
        <f t="shared" si="0"/>
        <v>Sep</v>
      </c>
      <c r="K25" s="2" t="str">
        <f t="shared" si="1"/>
        <v>2019</v>
      </c>
      <c r="L25" s="1" t="s">
        <v>12</v>
      </c>
      <c r="M25" s="1" t="s">
        <v>27</v>
      </c>
      <c r="N25" s="1" t="s">
        <v>34</v>
      </c>
      <c r="O25" s="1" t="s">
        <v>44</v>
      </c>
      <c r="P25" s="1">
        <v>2</v>
      </c>
      <c r="Q25" s="1">
        <v>30000</v>
      </c>
      <c r="R25" s="13">
        <f>(Table3[[#This Row],[Quantity]]*Table3[[#This Row],[Unitprice]])</f>
        <v>60000</v>
      </c>
      <c r="S25" s="4">
        <f t="shared" si="2"/>
        <v>3000</v>
      </c>
    </row>
    <row r="26" spans="8:19" x14ac:dyDescent="0.3">
      <c r="H26" s="3">
        <v>23</v>
      </c>
      <c r="I26" s="2">
        <v>43724</v>
      </c>
      <c r="J26" s="2" t="str">
        <f t="shared" si="0"/>
        <v>Sep</v>
      </c>
      <c r="K26" s="2" t="str">
        <f t="shared" si="1"/>
        <v>2019</v>
      </c>
      <c r="L26" s="1" t="s">
        <v>11</v>
      </c>
      <c r="M26" s="1" t="s">
        <v>15</v>
      </c>
      <c r="N26" s="1" t="s">
        <v>33</v>
      </c>
      <c r="O26" s="1" t="s">
        <v>44</v>
      </c>
      <c r="P26" s="1">
        <v>3</v>
      </c>
      <c r="Q26" s="1">
        <v>35000</v>
      </c>
      <c r="R26" s="13">
        <f>(Table3[[#This Row],[Quantity]]*Table3[[#This Row],[Unitprice]])</f>
        <v>105000</v>
      </c>
      <c r="S26" s="4">
        <f t="shared" si="2"/>
        <v>3500</v>
      </c>
    </row>
    <row r="27" spans="8:19" x14ac:dyDescent="0.3">
      <c r="H27" s="3">
        <v>24</v>
      </c>
      <c r="I27" s="2">
        <v>43725</v>
      </c>
      <c r="J27" s="2" t="str">
        <f t="shared" si="0"/>
        <v>Sep</v>
      </c>
      <c r="K27" s="2" t="str">
        <f t="shared" si="1"/>
        <v>2019</v>
      </c>
      <c r="L27" s="1" t="s">
        <v>12</v>
      </c>
      <c r="M27" s="1" t="s">
        <v>27</v>
      </c>
      <c r="N27" s="1" t="s">
        <v>35</v>
      </c>
      <c r="O27" s="1" t="s">
        <v>43</v>
      </c>
      <c r="P27" s="1">
        <v>1</v>
      </c>
      <c r="Q27" s="1">
        <v>12000</v>
      </c>
      <c r="R27" s="13">
        <f>(Table3[[#This Row],[Quantity]]*Table3[[#This Row],[Unitprice]])</f>
        <v>12000</v>
      </c>
      <c r="S27" s="4">
        <f t="shared" si="2"/>
        <v>1200</v>
      </c>
    </row>
    <row r="28" spans="8:19" x14ac:dyDescent="0.3">
      <c r="H28" s="3">
        <v>25</v>
      </c>
      <c r="I28" s="2">
        <v>43726</v>
      </c>
      <c r="J28" s="2" t="str">
        <f t="shared" si="0"/>
        <v>Sep</v>
      </c>
      <c r="K28" s="2" t="str">
        <f t="shared" si="1"/>
        <v>2019</v>
      </c>
      <c r="L28" s="1" t="s">
        <v>12</v>
      </c>
      <c r="M28" s="1" t="s">
        <v>24</v>
      </c>
      <c r="N28" s="1" t="s">
        <v>33</v>
      </c>
      <c r="O28" s="1" t="s">
        <v>42</v>
      </c>
      <c r="P28" s="1">
        <v>2</v>
      </c>
      <c r="Q28" s="1">
        <v>15000</v>
      </c>
      <c r="R28" s="13">
        <f>(Table3[[#This Row],[Quantity]]*Table3[[#This Row],[Unitprice]])</f>
        <v>30000</v>
      </c>
      <c r="S28" s="4">
        <f t="shared" si="2"/>
        <v>1500</v>
      </c>
    </row>
    <row r="29" spans="8:19" x14ac:dyDescent="0.3">
      <c r="H29" s="3">
        <v>26</v>
      </c>
      <c r="I29" s="2">
        <v>43727</v>
      </c>
      <c r="J29" s="2" t="str">
        <f t="shared" si="0"/>
        <v>Sep</v>
      </c>
      <c r="K29" s="2" t="str">
        <f t="shared" si="1"/>
        <v>2019</v>
      </c>
      <c r="L29" s="1" t="s">
        <v>12</v>
      </c>
      <c r="M29" s="1" t="s">
        <v>24</v>
      </c>
      <c r="N29" s="1" t="s">
        <v>35</v>
      </c>
      <c r="O29" s="1" t="s">
        <v>42</v>
      </c>
      <c r="P29" s="1">
        <v>1</v>
      </c>
      <c r="Q29" s="1">
        <v>45000</v>
      </c>
      <c r="R29" s="13">
        <f>(Table3[[#This Row],[Quantity]]*Table3[[#This Row],[Unitprice]])</f>
        <v>45000</v>
      </c>
      <c r="S29" s="4">
        <f t="shared" si="2"/>
        <v>4500</v>
      </c>
    </row>
    <row r="30" spans="8:19" x14ac:dyDescent="0.3">
      <c r="H30" s="3">
        <v>27</v>
      </c>
      <c r="I30" s="2">
        <v>43728</v>
      </c>
      <c r="J30" s="2" t="str">
        <f t="shared" si="0"/>
        <v>Sep</v>
      </c>
      <c r="K30" s="2" t="str">
        <f t="shared" si="1"/>
        <v>2019</v>
      </c>
      <c r="L30" s="1" t="s">
        <v>11</v>
      </c>
      <c r="M30" s="1" t="s">
        <v>28</v>
      </c>
      <c r="N30" s="1" t="s">
        <v>37</v>
      </c>
      <c r="O30" s="1" t="s">
        <v>43</v>
      </c>
      <c r="P30" s="1">
        <v>2</v>
      </c>
      <c r="Q30" s="1">
        <v>24000</v>
      </c>
      <c r="R30" s="13">
        <f>(Table3[[#This Row],[Quantity]]*Table3[[#This Row],[Unitprice]])</f>
        <v>48000</v>
      </c>
      <c r="S30" s="4">
        <f t="shared" si="2"/>
        <v>2400</v>
      </c>
    </row>
    <row r="31" spans="8:19" x14ac:dyDescent="0.3">
      <c r="H31" s="3">
        <v>28</v>
      </c>
      <c r="I31" s="2">
        <v>43729</v>
      </c>
      <c r="J31" s="2" t="str">
        <f t="shared" si="0"/>
        <v>Sep</v>
      </c>
      <c r="K31" s="2" t="str">
        <f t="shared" si="1"/>
        <v>2019</v>
      </c>
      <c r="L31" s="1" t="s">
        <v>11</v>
      </c>
      <c r="M31" s="1" t="s">
        <v>26</v>
      </c>
      <c r="N31" s="1" t="s">
        <v>36</v>
      </c>
      <c r="O31" s="1" t="s">
        <v>43</v>
      </c>
      <c r="P31" s="1">
        <v>3</v>
      </c>
      <c r="Q31" s="1">
        <v>12780</v>
      </c>
      <c r="R31" s="13">
        <f>(Table3[[#This Row],[Quantity]]*Table3[[#This Row],[Unitprice]])</f>
        <v>38340</v>
      </c>
      <c r="S31" s="4">
        <f t="shared" si="2"/>
        <v>1278</v>
      </c>
    </row>
    <row r="32" spans="8:19" x14ac:dyDescent="0.3">
      <c r="H32" s="3">
        <v>29</v>
      </c>
      <c r="I32" s="2">
        <v>43730</v>
      </c>
      <c r="J32" s="2" t="str">
        <f t="shared" si="0"/>
        <v>Sep</v>
      </c>
      <c r="K32" s="2" t="str">
        <f t="shared" si="1"/>
        <v>2019</v>
      </c>
      <c r="L32" s="1" t="s">
        <v>12</v>
      </c>
      <c r="M32" s="1" t="s">
        <v>14</v>
      </c>
      <c r="N32" s="1" t="s">
        <v>35</v>
      </c>
      <c r="O32" s="1" t="s">
        <v>42</v>
      </c>
      <c r="P32" s="1">
        <v>2</v>
      </c>
      <c r="Q32" s="1">
        <v>60000</v>
      </c>
      <c r="R32" s="13">
        <f>(Table3[[#This Row],[Quantity]]*Table3[[#This Row],[Unitprice]])</f>
        <v>120000</v>
      </c>
      <c r="S32" s="4">
        <f t="shared" si="2"/>
        <v>6000</v>
      </c>
    </row>
    <row r="33" spans="8:19" x14ac:dyDescent="0.3">
      <c r="H33" s="3">
        <v>30</v>
      </c>
      <c r="I33" s="2">
        <v>43731</v>
      </c>
      <c r="J33" s="2" t="str">
        <f t="shared" si="0"/>
        <v>Sep</v>
      </c>
      <c r="K33" s="2" t="str">
        <f t="shared" si="1"/>
        <v>2019</v>
      </c>
      <c r="L33" s="1" t="s">
        <v>11</v>
      </c>
      <c r="M33" s="1" t="s">
        <v>29</v>
      </c>
      <c r="N33" s="1" t="s">
        <v>37</v>
      </c>
      <c r="O33" s="1" t="s">
        <v>44</v>
      </c>
      <c r="P33" s="1">
        <v>1</v>
      </c>
      <c r="Q33" s="1">
        <v>75821</v>
      </c>
      <c r="R33" s="13">
        <f>(Table3[[#This Row],[Quantity]]*Table3[[#This Row],[Unitprice]])</f>
        <v>75821</v>
      </c>
      <c r="S33" s="4">
        <f t="shared" si="2"/>
        <v>7582.1</v>
      </c>
    </row>
    <row r="34" spans="8:19" x14ac:dyDescent="0.3">
      <c r="H34" s="3">
        <v>31</v>
      </c>
      <c r="I34" s="2">
        <v>43732</v>
      </c>
      <c r="J34" s="2" t="str">
        <f t="shared" si="0"/>
        <v>Sep</v>
      </c>
      <c r="K34" s="2" t="str">
        <f t="shared" si="1"/>
        <v>2019</v>
      </c>
      <c r="L34" s="1" t="s">
        <v>12</v>
      </c>
      <c r="M34" s="1" t="s">
        <v>24</v>
      </c>
      <c r="N34" s="1" t="s">
        <v>38</v>
      </c>
      <c r="O34" s="1" t="s">
        <v>44</v>
      </c>
      <c r="P34" s="1">
        <v>2</v>
      </c>
      <c r="Q34" s="1">
        <v>1250</v>
      </c>
      <c r="R34" s="13">
        <f>(Table3[[#This Row],[Quantity]]*Table3[[#This Row],[Unitprice]])</f>
        <v>2500</v>
      </c>
      <c r="S34" s="4">
        <f t="shared" si="2"/>
        <v>125</v>
      </c>
    </row>
    <row r="35" spans="8:19" x14ac:dyDescent="0.3">
      <c r="H35" s="3">
        <v>32</v>
      </c>
      <c r="I35" s="2">
        <v>43733</v>
      </c>
      <c r="J35" s="2" t="str">
        <f t="shared" si="0"/>
        <v>Sep</v>
      </c>
      <c r="K35" s="2" t="str">
        <f t="shared" si="1"/>
        <v>2019</v>
      </c>
      <c r="L35" s="1" t="s">
        <v>11</v>
      </c>
      <c r="M35" s="1" t="s">
        <v>29</v>
      </c>
      <c r="N35" s="1" t="s">
        <v>39</v>
      </c>
      <c r="O35" s="1" t="s">
        <v>41</v>
      </c>
      <c r="P35" s="1">
        <v>1</v>
      </c>
      <c r="Q35" s="1">
        <v>120</v>
      </c>
      <c r="R35" s="13">
        <f>(Table3[[#This Row],[Quantity]]*Table3[[#This Row],[Unitprice]])</f>
        <v>120</v>
      </c>
      <c r="S35" s="4">
        <f t="shared" si="2"/>
        <v>12</v>
      </c>
    </row>
    <row r="36" spans="8:19" x14ac:dyDescent="0.3">
      <c r="H36" s="3">
        <v>33</v>
      </c>
      <c r="I36" s="2">
        <v>43734</v>
      </c>
      <c r="J36" s="2" t="str">
        <f t="shared" si="0"/>
        <v>Sep</v>
      </c>
      <c r="K36" s="2" t="str">
        <f t="shared" si="1"/>
        <v>2019</v>
      </c>
      <c r="L36" s="1" t="s">
        <v>12</v>
      </c>
      <c r="M36" s="1" t="s">
        <v>21</v>
      </c>
      <c r="N36" s="1" t="s">
        <v>40</v>
      </c>
      <c r="O36" s="1" t="s">
        <v>41</v>
      </c>
      <c r="P36" s="1">
        <v>2</v>
      </c>
      <c r="Q36" s="1">
        <v>12900</v>
      </c>
      <c r="R36" s="13">
        <f>(Table3[[#This Row],[Quantity]]*Table3[[#This Row],[Unitprice]])</f>
        <v>25800</v>
      </c>
      <c r="S36" s="4">
        <f t="shared" si="2"/>
        <v>1290</v>
      </c>
    </row>
    <row r="37" spans="8:19" x14ac:dyDescent="0.3">
      <c r="H37" s="3">
        <v>34</v>
      </c>
      <c r="I37" s="2">
        <v>43735</v>
      </c>
      <c r="J37" s="2" t="str">
        <f t="shared" si="0"/>
        <v>Sep</v>
      </c>
      <c r="K37" s="2" t="str">
        <f t="shared" si="1"/>
        <v>2019</v>
      </c>
      <c r="L37" s="1" t="s">
        <v>11</v>
      </c>
      <c r="M37" s="1" t="s">
        <v>26</v>
      </c>
      <c r="N37" s="1" t="s">
        <v>33</v>
      </c>
      <c r="O37" s="1" t="s">
        <v>43</v>
      </c>
      <c r="P37" s="1">
        <v>1</v>
      </c>
      <c r="Q37" s="1">
        <v>25000</v>
      </c>
      <c r="R37" s="13">
        <f>(Table3[[#This Row],[Quantity]]*Table3[[#This Row],[Unitprice]])</f>
        <v>25000</v>
      </c>
      <c r="S37" s="4">
        <f t="shared" si="2"/>
        <v>2500</v>
      </c>
    </row>
    <row r="38" spans="8:19" x14ac:dyDescent="0.3">
      <c r="H38" s="3">
        <v>35</v>
      </c>
      <c r="I38" s="2">
        <v>43736</v>
      </c>
      <c r="J38" s="2" t="str">
        <f t="shared" si="0"/>
        <v>Sep</v>
      </c>
      <c r="K38" s="2" t="str">
        <f t="shared" si="1"/>
        <v>2019</v>
      </c>
      <c r="L38" s="1" t="s">
        <v>11</v>
      </c>
      <c r="M38" s="1" t="s">
        <v>15</v>
      </c>
      <c r="N38" s="1" t="s">
        <v>38</v>
      </c>
      <c r="O38" s="1" t="s">
        <v>42</v>
      </c>
      <c r="P38" s="1">
        <v>1</v>
      </c>
      <c r="Q38" s="1">
        <v>85000</v>
      </c>
      <c r="R38" s="13">
        <f>(Table3[[#This Row],[Quantity]]*Table3[[#This Row],[Unitprice]])</f>
        <v>85000</v>
      </c>
      <c r="S38" s="4">
        <f t="shared" si="2"/>
        <v>8500</v>
      </c>
    </row>
    <row r="39" spans="8:19" x14ac:dyDescent="0.3">
      <c r="H39" s="3">
        <v>36</v>
      </c>
      <c r="I39" s="2">
        <v>43737</v>
      </c>
      <c r="J39" s="2" t="str">
        <f t="shared" si="0"/>
        <v>Sep</v>
      </c>
      <c r="K39" s="2" t="str">
        <f t="shared" si="1"/>
        <v>2019</v>
      </c>
      <c r="L39" s="1" t="s">
        <v>11</v>
      </c>
      <c r="M39" s="1" t="s">
        <v>15</v>
      </c>
      <c r="N39" s="1" t="s">
        <v>39</v>
      </c>
      <c r="O39" s="1" t="s">
        <v>43</v>
      </c>
      <c r="P39" s="1">
        <v>2</v>
      </c>
      <c r="Q39" s="1">
        <v>90000</v>
      </c>
      <c r="R39" s="13">
        <f>(Table3[[#This Row],[Quantity]]*Table3[[#This Row],[Unitprice]])</f>
        <v>180000</v>
      </c>
      <c r="S39" s="4">
        <f t="shared" si="2"/>
        <v>9000</v>
      </c>
    </row>
    <row r="40" spans="8:19" x14ac:dyDescent="0.3">
      <c r="H40" s="3">
        <v>37</v>
      </c>
      <c r="I40" s="2">
        <v>43738</v>
      </c>
      <c r="J40" s="2" t="str">
        <f t="shared" si="0"/>
        <v>Sep</v>
      </c>
      <c r="K40" s="2" t="str">
        <f t="shared" si="1"/>
        <v>2019</v>
      </c>
      <c r="L40" s="1" t="s">
        <v>12</v>
      </c>
      <c r="M40" s="1" t="s">
        <v>30</v>
      </c>
      <c r="N40" s="1" t="s">
        <v>40</v>
      </c>
      <c r="O40" s="1" t="s">
        <v>44</v>
      </c>
      <c r="P40" s="1">
        <v>1</v>
      </c>
      <c r="Q40" s="1">
        <v>17000</v>
      </c>
      <c r="R40" s="13">
        <f>(Table3[[#This Row],[Quantity]]*Table3[[#This Row],[Unitprice]])</f>
        <v>17000</v>
      </c>
      <c r="S40" s="4">
        <f t="shared" si="2"/>
        <v>1700</v>
      </c>
    </row>
    <row r="41" spans="8:19" x14ac:dyDescent="0.3">
      <c r="H41" s="3">
        <v>38</v>
      </c>
      <c r="I41" s="2">
        <v>43739</v>
      </c>
      <c r="J41" s="2" t="str">
        <f t="shared" si="0"/>
        <v>Oct</v>
      </c>
      <c r="K41" s="2" t="str">
        <f t="shared" si="1"/>
        <v>2019</v>
      </c>
      <c r="L41" s="1" t="s">
        <v>12</v>
      </c>
      <c r="M41" s="1" t="s">
        <v>31</v>
      </c>
      <c r="N41" s="1" t="s">
        <v>37</v>
      </c>
      <c r="O41" s="1" t="s">
        <v>43</v>
      </c>
      <c r="P41" s="1">
        <v>2</v>
      </c>
      <c r="Q41" s="1">
        <v>45000</v>
      </c>
      <c r="R41" s="13">
        <f>(Table3[[#This Row],[Quantity]]*Table3[[#This Row],[Unitprice]])</f>
        <v>90000</v>
      </c>
      <c r="S41" s="4">
        <f t="shared" si="2"/>
        <v>4500</v>
      </c>
    </row>
    <row r="42" spans="8:19" x14ac:dyDescent="0.3">
      <c r="H42" s="3">
        <v>39</v>
      </c>
      <c r="I42" s="2">
        <v>43740</v>
      </c>
      <c r="J42" s="2" t="str">
        <f t="shared" si="0"/>
        <v>Oct</v>
      </c>
      <c r="K42" s="2" t="str">
        <f t="shared" si="1"/>
        <v>2019</v>
      </c>
      <c r="L42" s="1" t="s">
        <v>12</v>
      </c>
      <c r="M42" s="1" t="s">
        <v>32</v>
      </c>
      <c r="N42" s="1" t="s">
        <v>36</v>
      </c>
      <c r="O42" s="1" t="s">
        <v>41</v>
      </c>
      <c r="P42" s="1">
        <v>1</v>
      </c>
      <c r="Q42" s="1">
        <v>1250</v>
      </c>
      <c r="R42" s="13">
        <f>(Table3[[#This Row],[Quantity]]*Table3[[#This Row],[Unitprice]])</f>
        <v>1250</v>
      </c>
      <c r="S42" s="4">
        <f t="shared" si="2"/>
        <v>125</v>
      </c>
    </row>
    <row r="43" spans="8:19" x14ac:dyDescent="0.3">
      <c r="H43" s="5">
        <v>40</v>
      </c>
      <c r="I43" s="6">
        <v>43741</v>
      </c>
      <c r="J43" s="2" t="str">
        <f t="shared" si="0"/>
        <v>Oct</v>
      </c>
      <c r="K43" s="2" t="str">
        <f t="shared" si="1"/>
        <v>2019</v>
      </c>
      <c r="L43" s="7" t="s">
        <v>12</v>
      </c>
      <c r="M43" s="7" t="s">
        <v>17</v>
      </c>
      <c r="N43" s="7" t="s">
        <v>33</v>
      </c>
      <c r="O43" s="7" t="s">
        <v>42</v>
      </c>
      <c r="P43" s="7">
        <v>2</v>
      </c>
      <c r="Q43" s="7">
        <v>9000</v>
      </c>
      <c r="R43" s="13">
        <f>(Table3[[#This Row],[Quantity]]*Table3[[#This Row],[Unitprice]])</f>
        <v>18000</v>
      </c>
      <c r="S43" s="8">
        <f t="shared" si="2"/>
        <v>900</v>
      </c>
    </row>
  </sheetData>
  <mergeCells count="1">
    <mergeCell ref="H2:S2"/>
  </mergeCells>
  <phoneticPr fontId="2" type="noConversion"/>
  <conditionalFormatting sqref="P44">
    <cfRule type="cellIs" dxfId="0" priority="5" operator="greaterThan">
      <formula>25000</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6E9FEE-7BD8-4E93-AE5E-08BBE527E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dharmdalwadi@outlook.com</dc:creator>
  <cp:lastModifiedBy>dharmdalwadi@outlook.com</cp:lastModifiedBy>
  <dcterms:created xsi:type="dcterms:W3CDTF">2026-01-04T05:26:27Z</dcterms:created>
  <dcterms:modified xsi:type="dcterms:W3CDTF">2026-01-11T10:05:48Z</dcterms:modified>
</cp:coreProperties>
</file>